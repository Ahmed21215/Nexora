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91d8295a0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er Tracker" sheetId="1" r:id="R519b2d502d104372"/>
    <x:sheet xmlns:r="http://schemas.openxmlformats.org/officeDocument/2006/relationships" name="Lab Prep" sheetId="2" r:id="Rc041b71964764a43"/>
    <x:sheet xmlns:r="http://schemas.openxmlformats.org/officeDocument/2006/relationships" name="Read Me" sheetId="3" r:id="R53f90fcf2a6a44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mm/dd/yyyy"/>
  </x:numFmts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344054"/>
      <x:name val="Carlito"/>
    </x:font>
    <x:font>
      <x:b/>
      <x:sz val="9"/>
      <x:color rgb="FFFFFFFF"/>
      <x:name val="Carlito"/>
    </x:font>
    <x:font>
      <x:b/>
      <x:sz val="16"/>
      <x:color rgb="FF315D50"/>
      <x:name val="Carlito"/>
    </x:font>
    <x:font>
      <x:sz val="9"/>
      <x:color rgb="FF344054"/>
      <x:name val="Carlito"/>
    </x:font>
    <x:font>
      <x:i/>
      <x:sz val="9"/>
      <x:color rgb="FF344054"/>
      <x:name val="Carlito"/>
    </x:font>
    <x:font>
      <x:b/>
      <x:sz val="10"/>
      <x:color rgb="FFFFFFFF"/>
      <x:name val="Carlito"/>
    </x:font>
    <x:font>
      <x:b/>
      <x:sz val="14"/>
      <x:color rgb="FFBE8B2C"/>
      <x:name val="Carlito"/>
    </x:font>
    <x:font>
      <x:b/>
      <x:sz val="10"/>
      <x:color rgb="FF315D50"/>
      <x:name val="Carlito"/>
    </x:font>
    <x:font>
      <x:b/>
      <x:sz val="9"/>
      <x:color rgb="FF315D50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D1B3D"/>
      </x:patternFill>
    </x:fill>
    <x:fill>
      <x:patternFill patternType="solid">
        <x:fgColor rgb="FFF7F1DF"/>
      </x:patternFill>
    </x:fill>
    <x:fill>
      <x:patternFill patternType="solid">
        <x:fgColor rgb="FF4E7867"/>
      </x:patternFill>
    </x:fill>
    <x:fill>
      <x:patternFill patternType="solid">
        <x:fgColor rgb="FFEAF1ED"/>
      </x:patternFill>
    </x:fill>
    <x:fill>
      <x:patternFill patternType="solid">
        <x:fgColor rgb="FFF4F4F1"/>
      </x:patternFill>
    </x:fill>
    <x:fill>
      <x:patternFill patternType="solid">
        <x:fgColor rgb="FFEAF1ED"/>
      </x:patternFill>
    </x:fill>
    <x:fill>
      <x:patternFill patternType="solid">
        <x:fgColor rgb="FFFFFFFF"/>
      </x:patternFill>
    </x:fill>
    <x:fill>
      <x:patternFill patternType="solid">
        <x:fgColor rgb="FF0D1B3D"/>
      </x:patternFill>
    </x:fill>
    <x:fill>
      <x:patternFill patternType="solid">
        <x:fgColor rgb="FF4E7867"/>
      </x:patternFill>
    </x:fill>
  </x:fills>
  <x:borders count="2">
    <x:border/>
    <x:border/>
  </x:borders>
  <x:cellStyleXfs count="1">
    <x:xf numFmtId="0" fontId="0" fillId="0" borderId="0"/>
  </x:cellStyleXfs>
  <x:cellXfs count="9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20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20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horizontal="center"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0" xfId="0" applyNumberFormat="1" applyFont="1" applyFill="1" applyBorder="1" applyAlignment="1">
      <x:alignment horizontal="center" vertical="center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horizontal="center"/>
    </x:xf>
    <x:xf numFmtId="0" fontId="8" fillId="3" borderId="1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/>
    <x:xf numFmtId="0" fontId="10" fillId="5" borderId="1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 vertical="top" wrapText="1"/>
    </x:xf>
    <x:xf numFmtId="0" fontId="5" fillId="7" borderId="0" xfId="0" applyNumberFormat="1" applyFont="1" applyFill="1" applyBorder="1" applyAlignment="1">
      <x:alignment vertical="top" wrapText="1"/>
    </x:xf>
    <x:xf numFmtId="200" fontId="5" fillId="7" borderId="0" xfId="0" applyNumberFormat="1" applyFont="1" applyFill="1" applyBorder="1" applyAlignment="1">
      <x:alignment vertical="top" wrapText="1"/>
    </x:xf>
    <x:xf numFmtId="0" fontId="5" fillId="8" borderId="0" xfId="0" applyNumberFormat="1" applyFont="1" applyFill="1" applyBorder="1" applyAlignment="1">
      <x:alignment horizontal="center" vertical="top" wrapText="1"/>
    </x:xf>
    <x:xf numFmtId="0" fontId="5" fillId="8" borderId="0" xfId="0" applyNumberFormat="1" applyFont="1" applyFill="1" applyBorder="1" applyAlignment="1">
      <x:alignment vertical="top" wrapText="1"/>
    </x:xf>
    <x:xf numFmtId="200" fontId="5" fillId="8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3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  <x:color rgb="FF315D50"/>
      </x:font>
      <x:fill>
        <x:patternFill>
          <x:bgColor rgb="FFEAF1ED"/>
        </x:patternFill>
      </x:fill>
    </x:dxf>
    <x:dxf>
      <x:font>
        <x:b/>
        <x:color rgb="FF8A5D00"/>
      </x:font>
      <x:fill>
        <x:patternFill>
          <x:bgColor rgb="FFFFF1D6"/>
        </x:patternFill>
      </x:fill>
    </x:dxf>
    <x:dxf>
      <x:font>
        <x:color rgb="FF666666"/>
      </x:font>
      <x:fill>
        <x:patternFill>
          <x:bgColor rgb="FFEEEEEA"/>
        </x:patternFill>
      </x:fill>
    </x:dxf>
    <x:dxf>
      <x:font>
        <x:b/>
        <x:color rgb="FF8A5D00"/>
      </x:font>
      <x:fill>
        <x:patternFill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de83b5a1004f9b" /><Relationship Type="http://schemas.openxmlformats.org/officeDocument/2006/relationships/theme" Target="/xl/theme/theme1.xml" Id="Rd13c02c49b3f4d7a" /><Relationship Type="http://schemas.openxmlformats.org/officeDocument/2006/relationships/sharedStrings" Target="/xl/sharedStrings.xml" Id="R17ed2e8de2aa4259" /><Relationship Type="http://schemas.openxmlformats.org/officeDocument/2006/relationships/worksheet" Target="/xl/worksheets/sheet1.xml" Id="R519b2d502d104372" /><Relationship Type="http://schemas.openxmlformats.org/officeDocument/2006/relationships/worksheet" Target="/xl/worksheets/sheet2.xml" Id="Rc041b71964764a43" /><Relationship Type="http://schemas.openxmlformats.org/officeDocument/2006/relationships/worksheet" Target="/xl/worksheets/sheet3.xml" Id="R53f90fcf2a6a44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2" hidden="0" customWidth="1"/>
    <x:col min="3" max="3" width="18" hidden="0" customWidth="1"/>
    <x:col min="4" max="4" width="18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20" hidden="0" customWidth="1"/>
    <x:col min="10" max="10" width="22" hidden="0" customWidth="1"/>
    <x:col min="11" max="11" width="26" hidden="0" customWidth="1"/>
  </x:cols>
  <x:sheetData>
    <x:row r="1" ht="30" customHeight="1">
      <x:c r="A1" s="5" t="str">
        <x:v>NEXORA STUDENTS | FIVE LAB STARTER TRACKER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6" customHeight="1">
      <x:c r="A2" s="13" t="str">
        <x:v>Track five labs, follow-up dates, responses, and next steps. Enter the initial contact date and the suggested follow-up dates will calculate automatically.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>
      <x:c r="A4" s="20" t="str">
        <x:v>LABS ADDED</x:v>
      </x:c>
      <x:c r="B4" s="20" t="str">
        <x:v>EMAILS SENT</x:v>
      </x:c>
      <x:c r="C4" s="20" t="str">
        <x:v>FOLLOW UPS NEEDED</x:v>
      </x:c>
      <x:c r="D4" s="20" t="str">
        <x:v>MEETINGS</x:v>
      </x:c>
    </x:row>
    <x:row r="5" ht="26" customHeight="1">
      <x:c r="A5" s="27" t="n">
        <x:f>COUNTA(B8:B12)</x:f>
        <x:v>5</x:v>
      </x:c>
      <x:c r="B5" s="27" t="n">
        <x:f>COUNTIF(I8:I12,"Email Sent")+COUNTIF(I8:I12,"Awaiting Response")+COUNTIF(I8:I12,"Follow Up Needed")+COUNTIF(I8:I12,"Meeting Scheduled")</x:f>
        <x:v>0</x:v>
      </x:c>
      <x:c r="C5" s="27" t="n">
        <x:f>COUNTIF(I8:I12,"Follow Up Needed")</x:f>
        <x:v>0</x:v>
      </x:c>
      <x:c r="D5" s="27" t="n">
        <x:f>COUNTIF(I8:I12,"Meeting Scheduled")</x:f>
        <x:v>0</x:v>
      </x:c>
    </x:row>
    <x:row r="7" ht="32" customHeight="1">
      <x:c r="A7" s="96" t="str">
        <x:v>Priority</x:v>
      </x:c>
      <x:c r="B7" s="96" t="str">
        <x:v>Lab / Research Group</x:v>
      </x:c>
      <x:c r="C7" s="96" t="str">
        <x:v>Faculty Mentor</x:v>
      </x:c>
      <x:c r="D7" s="96" t="str">
        <x:v>Research Area</x:v>
      </x:c>
      <x:c r="E7" s="96" t="str">
        <x:v>Specific Interest to Mention</x:v>
      </x:c>
      <x:c r="F7" s="96" t="str">
        <x:v>Date Contacted</x:v>
      </x:c>
      <x:c r="G7" s="96" t="str">
        <x:v>First Follow Up</x:v>
      </x:c>
      <x:c r="H7" s="96" t="str">
        <x:v>Final Follow Up</x:v>
      </x:c>
      <x:c r="I7" s="96" t="str">
        <x:v>Status</x:v>
      </x:c>
      <x:c r="J7" s="96" t="str">
        <x:v>Suggested Next Step</x:v>
      </x:c>
      <x:c r="K7" s="96" t="str">
        <x:v>Notes</x:v>
      </x:c>
    </x:row>
    <x:row r="8" ht="52" customHeight="1">
      <x:c r="A8" s="90" t="n">
        <x:v>1</x:v>
      </x:c>
      <x:c r="B8" s="91" t="str"/>
      <x:c r="C8" s="91" t="str"/>
      <x:c r="D8" s="91" t="str"/>
      <x:c r="E8" s="91" t="str"/>
      <x:c r="F8" s="92"/>
      <x:c r="G8" s="92" t="str">
        <x:f>IF(F8="","",F8+7)</x:f>
      </x:c>
      <x:c r="H8" s="92" t="str">
        <x:f>IF(F8="","",F8+17)</x:f>
      </x:c>
      <x:c r="I8" s="91" t="str">
        <x:v>Researching</x:v>
      </x:c>
      <x:c r="J8" s="91" t="str">
        <x:f>IF(B8="","Add lab details",IF(I8="Closed","No action",IF(I8="Meeting Scheduled","Prepare for meeting",IF(F8="","Research and personalize",IF(TODAY()&gt;=H8,"Send final follow up",IF(TODAY()&gt;=G8,"Send first follow up","Wait for response"))))))</x:f>
        <x:v>Add lab details</x:v>
      </x:c>
      <x:c r="K8" s="91" t="str"/>
    </x:row>
    <x:row r="9" ht="52" customHeight="1">
      <x:c r="A9" s="93" t="n">
        <x:v>2</x:v>
      </x:c>
      <x:c r="B9" s="94" t="str"/>
      <x:c r="C9" s="94" t="str"/>
      <x:c r="D9" s="94" t="str"/>
      <x:c r="E9" s="94" t="str"/>
      <x:c r="F9" s="95"/>
      <x:c r="G9" s="95" t="str">
        <x:f>IF(F9="","",F9+7)</x:f>
      </x:c>
      <x:c r="H9" s="95" t="str">
        <x:f>IF(F9="","",F9+17)</x:f>
      </x:c>
      <x:c r="I9" s="94" t="str">
        <x:v>Researching</x:v>
      </x:c>
      <x:c r="J9" s="94" t="str">
        <x:f>IF(B9="","Add lab details",IF(I9="Closed","No action",IF(I9="Meeting Scheduled","Prepare for meeting",IF(F9="","Research and personalize",IF(TODAY()&gt;=H9,"Send final follow up",IF(TODAY()&gt;=G9,"Send first follow up","Wait for response"))))))</x:f>
        <x:v>Add lab details</x:v>
      </x:c>
      <x:c r="K9" s="94" t="str"/>
    </x:row>
    <x:row r="10" ht="52" customHeight="1">
      <x:c r="A10" s="90" t="n">
        <x:v>3</x:v>
      </x:c>
      <x:c r="B10" s="91" t="str"/>
      <x:c r="C10" s="91" t="str"/>
      <x:c r="D10" s="91" t="str"/>
      <x:c r="E10" s="91" t="str"/>
      <x:c r="F10" s="92"/>
      <x:c r="G10" s="92" t="str">
        <x:f>IF(F10="","",F10+7)</x:f>
      </x:c>
      <x:c r="H10" s="92" t="str">
        <x:f>IF(F10="","",F10+17)</x:f>
      </x:c>
      <x:c r="I10" s="91" t="str">
        <x:v>Researching</x:v>
      </x:c>
      <x:c r="J10" s="91" t="str">
        <x:f>IF(B10="","Add lab details",IF(I10="Closed","No action",IF(I10="Meeting Scheduled","Prepare for meeting",IF(F10="","Research and personalize",IF(TODAY()&gt;=H10,"Send final follow up",IF(TODAY()&gt;=G10,"Send first follow up","Wait for response"))))))</x:f>
        <x:v>Add lab details</x:v>
      </x:c>
      <x:c r="K10" s="91" t="str"/>
    </x:row>
    <x:row r="11" ht="52" customHeight="1">
      <x:c r="A11" s="93" t="n">
        <x:v>4</x:v>
      </x:c>
      <x:c r="B11" s="94" t="str"/>
      <x:c r="C11" s="94" t="str"/>
      <x:c r="D11" s="94" t="str"/>
      <x:c r="E11" s="94" t="str"/>
      <x:c r="F11" s="95"/>
      <x:c r="G11" s="95" t="str">
        <x:f>IF(F11="","",F11+7)</x:f>
      </x:c>
      <x:c r="H11" s="95" t="str">
        <x:f>IF(F11="","",F11+17)</x:f>
      </x:c>
      <x:c r="I11" s="94" t="str">
        <x:v>Researching</x:v>
      </x:c>
      <x:c r="J11" s="94" t="str">
        <x:f>IF(B11="","Add lab details",IF(I11="Closed","No action",IF(I11="Meeting Scheduled","Prepare for meeting",IF(F11="","Research and personalize",IF(TODAY()&gt;=H11,"Send final follow up",IF(TODAY()&gt;=G11,"Send first follow up","Wait for response"))))))</x:f>
        <x:v>Add lab details</x:v>
      </x:c>
      <x:c r="K11" s="94" t="str"/>
    </x:row>
    <x:row r="12" ht="52" customHeight="1">
      <x:c r="A12" s="90" t="n">
        <x:v>5</x:v>
      </x:c>
      <x:c r="B12" s="91" t="str"/>
      <x:c r="C12" s="91" t="str"/>
      <x:c r="D12" s="91" t="str"/>
      <x:c r="E12" s="91" t="str"/>
      <x:c r="F12" s="92"/>
      <x:c r="G12" s="92" t="str">
        <x:f>IF(F12="","",F12+7)</x:f>
      </x:c>
      <x:c r="H12" s="92" t="str">
        <x:f>IF(F12="","",F12+17)</x:f>
      </x:c>
      <x:c r="I12" s="91" t="str">
        <x:v>Researching</x:v>
      </x:c>
      <x:c r="J12" s="91" t="str">
        <x:f>IF(B12="","Add lab details",IF(I12="Closed","No action",IF(I12="Meeting Scheduled","Prepare for meeting",IF(F12="","Research and personalize",IF(TODAY()&gt;=H12,"Send final follow up",IF(TODAY()&gt;=G12,"Send first follow up","Wait for response"))))))</x:f>
        <x:v>Add lab details</x:v>
      </x:c>
      <x:c r="K12" s="91" t="str"/>
    </x:row>
    <x:row r="14">
      <x:c r="A14" s="57" t="str">
        <x:v>Tip: Update the status after every email, follow-up, or meeting so the dashboard stays useful.</x:v>
      </x:c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</x:row>
  </x:sheetData>
  <x:mergeCells>
    <x:mergeCell ref="A1:K1"/>
    <x:mergeCell ref="A2:K2"/>
    <x:mergeCell ref="A14:K14"/>
  </x:mergeCells>
  <x:conditionalFormatting sqref="I8:I12">
    <x:cfRule type="expression" dxfId="0" priority="1">
      <x:formula>I8="Meeting Scheduled"</x:formula>
    </x:cfRule>
    <x:cfRule type="expression" dxfId="1" priority="2">
      <x:formula>I8="Follow Up Needed"</x:formula>
    </x:cfRule>
    <x:cfRule type="expression" dxfId="2" priority="3">
      <x:formula>I8="Closed"</x:formula>
    </x:cfRule>
  </x:conditionalFormatting>
  <x:conditionalFormatting sqref="J8:J12">
    <x:cfRule type="expression" dxfId="3" priority="4">
      <x:formula>OR(J8="Send first follow up",J8="Send final follow up")</x:formula>
    </x:cfRule>
  </x:conditionalFormatting>
  <x:dataValidations count="1">
    <x:dataValidation type="list" sqref="I8:I12">
      <x:formula1>"Researching,Ready to Contact,Email Sent,Follow Up Needed,Meeting Scheduled,Awaiting Response,Closed"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4" hidden="0" customWidth="1"/>
    <x:col min="4" max="4" width="26" hidden="0" customWidth="1"/>
    <x:col min="5" max="5" width="28" hidden="0" customWidth="1"/>
    <x:col min="6" max="6" width="28" hidden="0" customWidth="1"/>
    <x:col min="7" max="7" width="24" hidden="0" customWidth="1"/>
    <x:col min="8" max="8" width="28" hidden="0" customWidth="1"/>
  </x:cols>
  <x:sheetData>
    <x:row r="1">
      <x:c r="A1" s="4" t="str">
        <x:v>NEXORA STUDENTS | LAB PREP NOTES</x:v>
      </x:c>
      <x:c r="B1" s="4"/>
      <x:c r="C1" s="4"/>
      <x:c r="D1" s="4"/>
      <x:c r="E1" s="4"/>
      <x:c r="F1" s="4"/>
      <x:c r="G1" s="4"/>
      <x:c r="H1" s="4"/>
    </x:row>
    <x:row r="2" ht="38" customHeight="1">
      <x:c r="A2" s="12" t="str">
        <x:v>Use one row per lab before drafting the outreach email. This sheet helps you identify the specific information that makes a message personal.</x:v>
      </x:c>
      <x:c r="B2" s="12"/>
      <x:c r="C2" s="12"/>
      <x:c r="D2" s="12"/>
      <x:c r="E2" s="12"/>
      <x:c r="F2" s="12"/>
      <x:c r="G2" s="12"/>
      <x:c r="H2" s="12"/>
    </x:row>
    <x:row r="4" ht="34" customHeight="1">
      <x:c r="A4" s="97" t="str">
        <x:v>Lab / Faculty</x:v>
      </x:c>
      <x:c r="B4" s="97" t="str">
        <x:v>Department</x:v>
      </x:c>
      <x:c r="C4" s="97" t="str">
        <x:v>Main Research Focus</x:v>
      </x:c>
      <x:c r="D4" s="97" t="str">
        <x:v>Project or Publication Reviewed</x:v>
      </x:c>
      <x:c r="E4" s="97" t="str">
        <x:v>What Interested Me</x:v>
      </x:c>
      <x:c r="F4" s="97" t="str">
        <x:v>Relevant Experience to Mention</x:v>
      </x:c>
      <x:c r="G4" s="97" t="str">
        <x:v>Question to Ask</x:v>
      </x:c>
      <x:c r="H4" s="97" t="str">
        <x:v>Application Instructions / Link</x:v>
      </x:c>
    </x:row>
    <x:row r="5" ht="72" customHeight="1">
      <x:c r="A5" s="91" t="str"/>
      <x:c r="B5" s="91" t="str"/>
      <x:c r="C5" s="91" t="str"/>
      <x:c r="D5" s="91" t="str"/>
      <x:c r="E5" s="91" t="str"/>
      <x:c r="F5" s="91" t="str"/>
      <x:c r="G5" s="91" t="str"/>
      <x:c r="H5" s="91" t="str"/>
    </x:row>
    <x:row r="6" ht="72" customHeight="1">
      <x:c r="A6" s="94" t="str"/>
      <x:c r="B6" s="94" t="str"/>
      <x:c r="C6" s="94" t="str"/>
      <x:c r="D6" s="94" t="str"/>
      <x:c r="E6" s="94" t="str"/>
      <x:c r="F6" s="94" t="str"/>
      <x:c r="G6" s="94" t="str"/>
      <x:c r="H6" s="94" t="str"/>
    </x:row>
    <x:row r="7" ht="72" customHeight="1">
      <x:c r="A7" s="91" t="str"/>
      <x:c r="B7" s="91" t="str"/>
      <x:c r="C7" s="91" t="str"/>
      <x:c r="D7" s="91" t="str"/>
      <x:c r="E7" s="91" t="str"/>
      <x:c r="F7" s="91" t="str"/>
      <x:c r="G7" s="91" t="str"/>
      <x:c r="H7" s="91" t="str"/>
    </x:row>
    <x:row r="8" ht="72" customHeight="1">
      <x:c r="A8" s="94" t="str"/>
      <x:c r="B8" s="94" t="str"/>
      <x:c r="C8" s="94" t="str"/>
      <x:c r="D8" s="94" t="str"/>
      <x:c r="E8" s="94" t="str"/>
      <x:c r="F8" s="94" t="str"/>
      <x:c r="G8" s="94" t="str"/>
      <x:c r="H8" s="94" t="str"/>
    </x:row>
    <x:row r="9" ht="72" customHeight="1">
      <x:c r="A9" s="91" t="str"/>
      <x:c r="B9" s="91" t="str"/>
      <x:c r="C9" s="91" t="str"/>
      <x:c r="D9" s="91" t="str"/>
      <x:c r="E9" s="91" t="str"/>
      <x:c r="F9" s="91" t="str"/>
      <x:c r="G9" s="91" t="str"/>
      <x:c r="H9" s="91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58" hidden="0" customWidth="1"/>
  </x:cols>
  <x:sheetData>
    <x:row r="1">
      <x:c r="A1" s="3" t="str">
        <x:v>NEXORA STUDENTS | START HERE</x:v>
      </x:c>
      <x:c r="B1" s="3"/>
      <x:c r="C1" s="3"/>
      <x:c r="D1" s="3"/>
      <x:c r="E1" s="3"/>
      <x:c r="F1" s="3"/>
    </x:row>
    <x:row r="3">
      <x:c r="A3" s="66" t="str">
        <x:v>HOW TO USE THE TRACKER</x:v>
      </x:c>
      <x:c r="B3" s="66"/>
      <x:c r="C3" s="66"/>
      <x:c r="D3" s="66"/>
      <x:c r="E3" s="66"/>
      <x:c r="F3" s="66"/>
    </x:row>
    <x:row r="5" ht="42" customHeight="1">
      <x:c r="A5" s="70" t="str">
        <x:v>1</x:v>
      </x:c>
      <x:c r="B5" s="75" t="str">
        <x:v>Choose five labs</x:v>
      </x:c>
      <x:c r="C5" s="81" t="str">
        <x:v>Start with several appropriate options instead of waiting on one perfect match.</x:v>
      </x:c>
    </x:row>
    <x:row r="6" ht="42" customHeight="1">
      <x:c r="A6" s="70" t="str">
        <x:v>2</x:v>
      </x:c>
      <x:c r="B6" s="75" t="str">
        <x:v>Complete Lab Prep</x:v>
      </x:c>
      <x:c r="C6" s="81" t="str">
        <x:v>Review the lab website and one current project, publication, abstract, or research summary.</x:v>
      </x:c>
    </x:row>
    <x:row r="7" ht="42" customHeight="1">
      <x:c r="A7" s="70" t="str">
        <x:v>3</x:v>
      </x:c>
      <x:c r="B7" s="75" t="str">
        <x:v>Enter the contact date</x:v>
      </x:c>
      <x:c r="C7" s="81" t="str">
        <x:v>The first and final follow-up dates will calculate automatically.</x:v>
      </x:c>
    </x:row>
    <x:row r="8" ht="42" customHeight="1">
      <x:c r="A8" s="70" t="str">
        <x:v>4</x:v>
      </x:c>
      <x:c r="B8" s="75" t="str">
        <x:v>Update the status</x:v>
      </x:c>
      <x:c r="C8" s="81" t="str">
        <x:v>Use the dropdown after each email, follow-up, response, or meeting.</x:v>
      </x:c>
    </x:row>
    <x:row r="10">
      <x:c r="A10" s="66" t="str">
        <x:v>STATUS OPTIONS</x:v>
      </x:c>
      <x:c r="B10" s="66"/>
      <x:c r="C10" s="66"/>
      <x:c r="D10" s="66"/>
      <x:c r="E10" s="66"/>
      <x:c r="F10" s="66"/>
    </x:row>
    <x:row r="12" ht="32" customHeight="1">
      <x:c r="A12" s="86" t="str">
        <x:v>Researching</x:v>
      </x:c>
      <x:c r="B12" s="80" t="str">
        <x:v>You are still reviewing the lab and deciding whether it is a fit.</x:v>
      </x:c>
    </x:row>
    <x:row r="13" ht="32" customHeight="1">
      <x:c r="A13" s="86" t="str">
        <x:v>Ready to Contact</x:v>
      </x:c>
      <x:c r="B13" s="80" t="str">
        <x:v>Your lab notes, resume, and personalized email are ready.</x:v>
      </x:c>
    </x:row>
    <x:row r="14" ht="32" customHeight="1">
      <x:c r="A14" s="86" t="str">
        <x:v>Email Sent</x:v>
      </x:c>
      <x:c r="B14" s="80" t="str">
        <x:v>The initial email has been sent.</x:v>
      </x:c>
    </x:row>
    <x:row r="15" ht="32" customHeight="1">
      <x:c r="A15" s="86" t="str">
        <x:v>Follow Up Needed</x:v>
      </x:c>
      <x:c r="B15" s="80" t="str">
        <x:v>The suggested follow-up date has arrived.</x:v>
      </x:c>
    </x:row>
    <x:row r="16" ht="32" customHeight="1">
      <x:c r="A16" s="86" t="str">
        <x:v>Meeting Scheduled</x:v>
      </x:c>
      <x:c r="B16" s="80" t="str">
        <x:v>A conversation or interview is on the calendar.</x:v>
      </x:c>
    </x:row>
    <x:row r="17" ht="32" customHeight="1">
      <x:c r="A17" s="86" t="str">
        <x:v>Awaiting Response</x:v>
      </x:c>
      <x:c r="B17" s="80" t="str">
        <x:v>You have followed up and are waiting.</x:v>
      </x:c>
    </x:row>
    <x:row r="18" ht="32" customHeight="1">
      <x:c r="A18" s="86" t="str">
        <x:v>Closed</x:v>
      </x:c>
      <x:c r="B18" s="80" t="str">
        <x:v>The opportunity is no longer active or you have decided not to continue.</x:v>
      </x:c>
    </x:row>
    <x:row r="20">
      <x:c r="A20" s="88" t="str">
        <x:v>Important: This tracker is an organizational tool and does not guarantee a response, interview, research position, acceptance, or funding. Nexora Solutions is not affiliated with UC Irvine or any university. Personal use only; do not resell, share, or redistribute.</x:v>
      </x:c>
      <x:c r="B20" s="88"/>
      <x:c r="C20" s="88"/>
      <x:c r="D20" s="88"/>
      <x:c r="E20" s="88"/>
      <x:c r="F20" s="88"/>
    </x:row>
    <x:row r="21">
      <x:c r="A21" s="88"/>
      <x:c r="B21" s="88"/>
      <x:c r="C21" s="88"/>
      <x:c r="D21" s="88"/>
      <x:c r="E21" s="88"/>
      <x:c r="F21" s="88"/>
    </x:row>
    <x:row r="22">
      <x:c r="A22" s="88"/>
      <x:c r="B22" s="88"/>
      <x:c r="C22" s="88"/>
      <x:c r="D22" s="88"/>
      <x:c r="E22" s="88"/>
      <x:c r="F22" s="88"/>
    </x:row>
  </x:sheetData>
  <x:mergeCells>
    <x:mergeCell ref="A1:F1"/>
    <x:mergeCell ref="A3:F3"/>
    <x:mergeCell ref="A10:F10"/>
    <x:mergeCell ref="A20:F22"/>
  </x:mergeCells>
  <x:pageMargins left="0.7" right="0.7" top="0.75" bottom="0.75" header="0.3" footer="0.3"/>
</x:worksheet>
</file>